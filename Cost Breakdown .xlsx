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g Rolls" sheetId="1" r:id="rId5"/>
    <sheet state="visible" name="Sheet4" sheetId="2" r:id="rId6"/>
    <sheet state="visible" name="Overhead Cost" sheetId="3" r:id="rId7"/>
    <sheet state="visible" name="Labor" sheetId="4" r:id="rId8"/>
  </sheets>
  <definedNames/>
  <calcPr/>
</workbook>
</file>

<file path=xl/sharedStrings.xml><?xml version="1.0" encoding="utf-8"?>
<sst xmlns="http://schemas.openxmlformats.org/spreadsheetml/2006/main" count="394" uniqueCount="190">
  <si>
    <t>Size</t>
  </si>
  <si>
    <t>Weight</t>
  </si>
  <si>
    <t>*wholesale only</t>
  </si>
  <si>
    <t xml:space="preserve">1.5' x 5' </t>
  </si>
  <si>
    <t>2oz/roll</t>
  </si>
  <si>
    <t xml:space="preserve">1' x 4' </t>
  </si>
  <si>
    <t>1.5oz/roll</t>
  </si>
  <si>
    <t>Wholesale Price</t>
  </si>
  <si>
    <t>Large Vegetable*</t>
  </si>
  <si>
    <t>1.5' x 5'</t>
  </si>
  <si>
    <t>$.76cent</t>
  </si>
  <si>
    <t xml:space="preserve">Small Vegetable </t>
  </si>
  <si>
    <t>1' x 4'</t>
  </si>
  <si>
    <t>$.72cent</t>
  </si>
  <si>
    <t>Carrot</t>
  </si>
  <si>
    <t>23lb</t>
  </si>
  <si>
    <t>Taro</t>
  </si>
  <si>
    <t>35lb</t>
  </si>
  <si>
    <t>cabbage</t>
  </si>
  <si>
    <t>25lb</t>
  </si>
  <si>
    <t>onion</t>
  </si>
  <si>
    <t>Carrots</t>
  </si>
  <si>
    <t>salt</t>
  </si>
  <si>
    <t>.5lb</t>
  </si>
  <si>
    <t xml:space="preserve">Salt </t>
  </si>
  <si>
    <t>10lbs</t>
  </si>
  <si>
    <t>Sugar</t>
  </si>
  <si>
    <t>Pepper</t>
  </si>
  <si>
    <t>5lb</t>
  </si>
  <si>
    <t>Cabbage</t>
  </si>
  <si>
    <t>Mushroom seasoning</t>
  </si>
  <si>
    <t>.5lbs</t>
  </si>
  <si>
    <t>25lbs</t>
  </si>
  <si>
    <t>onions</t>
  </si>
  <si>
    <t>Wrapper</t>
  </si>
  <si>
    <t xml:space="preserve">1200 sheet </t>
  </si>
  <si>
    <t>CB</t>
  </si>
  <si>
    <t>vermicelli</t>
  </si>
  <si>
    <t>Mushroom Powder</t>
  </si>
  <si>
    <t>1lb</t>
  </si>
  <si>
    <t>Total</t>
  </si>
  <si>
    <t>sugar</t>
  </si>
  <si>
    <t>Cost/roll</t>
  </si>
  <si>
    <t>Actual cost</t>
  </si>
  <si>
    <t>Actual Cost</t>
  </si>
  <si>
    <t xml:space="preserve">best practice = keep all cost current </t>
  </si>
  <si>
    <t>Wrappers</t>
  </si>
  <si>
    <t>1'x 4'</t>
  </si>
  <si>
    <t xml:space="preserve">material, labor and overhead </t>
  </si>
  <si>
    <t>Vermicelli</t>
  </si>
  <si>
    <t>Onion</t>
  </si>
  <si>
    <t>23lbs</t>
  </si>
  <si>
    <t>Keep track of production</t>
  </si>
  <si>
    <t>Working with suppliers</t>
  </si>
  <si>
    <t>-get credit terms</t>
  </si>
  <si>
    <t>Mushroom bouillon</t>
  </si>
  <si>
    <t>0.5lb</t>
  </si>
  <si>
    <t>wrapper</t>
  </si>
  <si>
    <t>Large Chicken*</t>
  </si>
  <si>
    <t>.76cent</t>
  </si>
  <si>
    <t>Small Chicken</t>
  </si>
  <si>
    <t>.74cent</t>
  </si>
  <si>
    <t>cooked $1</t>
  </si>
  <si>
    <t>Minced Chicken</t>
  </si>
  <si>
    <t>40lb</t>
  </si>
  <si>
    <t>14lb</t>
  </si>
  <si>
    <t>20lb</t>
  </si>
  <si>
    <t>black pepper</t>
  </si>
  <si>
    <t>Chicken flavor bouillon</t>
  </si>
  <si>
    <t>1500 sheet</t>
  </si>
  <si>
    <t>1200 sheet</t>
  </si>
  <si>
    <t>Large Pork*</t>
  </si>
  <si>
    <t>Small Pork</t>
  </si>
  <si>
    <t>$.74cent</t>
  </si>
  <si>
    <t>Pork</t>
  </si>
  <si>
    <t>Shrimp</t>
  </si>
  <si>
    <t>$.88cent</t>
  </si>
  <si>
    <t>cooked $1.2</t>
  </si>
  <si>
    <t>8lb</t>
  </si>
  <si>
    <t>Garlic</t>
  </si>
  <si>
    <t>cost/roll</t>
  </si>
  <si>
    <t>Pork and Shrimp</t>
  </si>
  <si>
    <t>0.8 cent</t>
  </si>
  <si>
    <t>Cooked $1.1</t>
  </si>
  <si>
    <t>Minced Pork</t>
  </si>
  <si>
    <t>Chicken</t>
  </si>
  <si>
    <t>pork and shrimp total 88 lbs</t>
  </si>
  <si>
    <t>88/1500 = 0.05lbs per egg roll</t>
  </si>
  <si>
    <t>Ingredient</t>
  </si>
  <si>
    <t>total Weight (lb)</t>
  </si>
  <si>
    <t>Weight per eggroll (lbs)</t>
  </si>
  <si>
    <t>Percentage per eggroll (%)</t>
  </si>
  <si>
    <t>Black Pepper</t>
  </si>
  <si>
    <t>Chicken Flavor Bouillon</t>
  </si>
  <si>
    <t>Salt</t>
  </si>
  <si>
    <t>prices</t>
  </si>
  <si>
    <t>per roll</t>
  </si>
  <si>
    <t>profit per roll</t>
  </si>
  <si>
    <t>margin</t>
  </si>
  <si>
    <t>cooked pork and shrimp</t>
  </si>
  <si>
    <t xml:space="preserve">cooked pork </t>
  </si>
  <si>
    <t>cooked shrimp</t>
  </si>
  <si>
    <t>cooked chicken</t>
  </si>
  <si>
    <t>cooked taro</t>
  </si>
  <si>
    <t>cooked vegetable</t>
  </si>
  <si>
    <t>frozen pork and shrimp</t>
  </si>
  <si>
    <t>$44 for 50pcs</t>
  </si>
  <si>
    <t>frozen pork</t>
  </si>
  <si>
    <t>$39 for 50pcs</t>
  </si>
  <si>
    <t>frozen shrimp</t>
  </si>
  <si>
    <t>$46 for 50pcs</t>
  </si>
  <si>
    <t>frozen chicken</t>
  </si>
  <si>
    <t>$40 for 50pcs</t>
  </si>
  <si>
    <t>frozen taro</t>
  </si>
  <si>
    <t>$38 for 50pcs</t>
  </si>
  <si>
    <t>frozen vegetable</t>
  </si>
  <si>
    <t>frozen wonton</t>
  </si>
  <si>
    <t>$12 for 30 pc</t>
  </si>
  <si>
    <t>banh bot loc</t>
  </si>
  <si>
    <t>$38 per bag</t>
  </si>
  <si>
    <t xml:space="preserve">$ spend/unit </t>
  </si>
  <si>
    <t>Daily</t>
  </si>
  <si>
    <t>Monthly</t>
  </si>
  <si>
    <t>Quarterly</t>
  </si>
  <si>
    <t>Yearly</t>
  </si>
  <si>
    <t>Uiltilies</t>
  </si>
  <si>
    <t>Rent</t>
  </si>
  <si>
    <t>Business Insurance</t>
  </si>
  <si>
    <t>Car payment</t>
  </si>
  <si>
    <t>POS fees</t>
  </si>
  <si>
    <t>.3% +0.10 fee per transaction</t>
  </si>
  <si>
    <t>Accounting/book keeping fees</t>
  </si>
  <si>
    <t>Phone Bills</t>
  </si>
  <si>
    <t>Licensing</t>
  </si>
  <si>
    <t>Quantity/Month</t>
  </si>
  <si>
    <r>
      <rPr>
        <rFont val="Arial"/>
        <color rgb="FF000000"/>
      </rPr>
      <t>Cost/Month</t>
    </r>
  </si>
  <si>
    <t xml:space="preserve">Miscellaneous </t>
  </si>
  <si>
    <t>Foil Tray- large</t>
  </si>
  <si>
    <t>36.49*2</t>
  </si>
  <si>
    <t>Foil Tray- Small</t>
  </si>
  <si>
    <t xml:space="preserve">Clear plastic bag </t>
  </si>
  <si>
    <t>To go plastic bag</t>
  </si>
  <si>
    <t>Soy Bean oil</t>
  </si>
  <si>
    <t>4 per month</t>
  </si>
  <si>
    <t>34.99*4</t>
  </si>
  <si>
    <t xml:space="preserve">labels </t>
  </si>
  <si>
    <t>To go box</t>
  </si>
  <si>
    <t>Trash Bags</t>
  </si>
  <si>
    <t>2 box</t>
  </si>
  <si>
    <t>23.99*2</t>
  </si>
  <si>
    <t>Toilet Paper</t>
  </si>
  <si>
    <t>23.49*2</t>
  </si>
  <si>
    <t>Paper Towel</t>
  </si>
  <si>
    <t>22.99*2</t>
  </si>
  <si>
    <t>Column 1</t>
  </si>
  <si>
    <t>Name</t>
  </si>
  <si>
    <t>Title</t>
  </si>
  <si>
    <t>Rate</t>
  </si>
  <si>
    <t>hours</t>
  </si>
  <si>
    <t>Daily + Benefit (additional 25%)</t>
  </si>
  <si>
    <t>Weekly</t>
  </si>
  <si>
    <t>Insurance</t>
  </si>
  <si>
    <t>HUA, Phoung</t>
  </si>
  <si>
    <t>Manager</t>
  </si>
  <si>
    <t>8000/monthly</t>
  </si>
  <si>
    <t>-</t>
  </si>
  <si>
    <t>WONG, Rayment</t>
  </si>
  <si>
    <t>WONG, Jason</t>
  </si>
  <si>
    <t>Admin</t>
  </si>
  <si>
    <t>CHAU, Sat</t>
  </si>
  <si>
    <t>Food Preperation</t>
  </si>
  <si>
    <t>LIN, Miao</t>
  </si>
  <si>
    <t>WONG, Lin</t>
  </si>
  <si>
    <t>ZHEN, Mao</t>
  </si>
  <si>
    <t>NGUYEN, Ngoc</t>
  </si>
  <si>
    <t xml:space="preserve">Food Processing </t>
  </si>
  <si>
    <t>WONG, Kevin</t>
  </si>
  <si>
    <t>Rolls</t>
  </si>
  <si>
    <t xml:space="preserve">Monthly ( avg 25 working day) </t>
  </si>
  <si>
    <t>Daily Output</t>
  </si>
  <si>
    <t>Hourly Output</t>
  </si>
  <si>
    <t>total daily wages/ total eggroll</t>
  </si>
  <si>
    <t>assum total hours = 1230 (all employees on payroll)</t>
  </si>
  <si>
    <t xml:space="preserve">Insurance Benefit (who gets, how much) </t>
  </si>
  <si>
    <t>Overhead</t>
  </si>
  <si>
    <t>Wages</t>
  </si>
  <si>
    <t>46406.36/1230= 37.7 cost per hour per person (overhead cost + labor cost)</t>
  </si>
  <si>
    <t>total</t>
  </si>
  <si>
    <t xml:space="preserve">fix and variable overhead </t>
  </si>
  <si>
    <t>/roll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</si>
</sst>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6100"/>
      <name val="Arial"/>
    </font>
    <font>
      <b/>
      <color theme="1"/>
      <name val="Arial"/>
      <scheme val="minor"/>
    </font>
    <font>
      <color theme="1"/>
      <name val="Arial"/>
    </font>
    <font>
      <sz val="12.0"/>
      <color rgb="FF000000"/>
      <name val="Calibri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6EFCE"/>
        <bgColor rgb="FFC6EFCE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6"/>
        <bgColor theme="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1" fillId="3" fontId="2" numFmtId="0" xfId="0" applyAlignment="1" applyBorder="1" applyFill="1" applyFont="1">
      <alignment horizontal="right" vertical="bottom"/>
    </xf>
    <xf borderId="1" fillId="3" fontId="2" numFmtId="0" xfId="0" applyAlignment="1" applyBorder="1" applyFont="1">
      <alignment vertical="bottom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1" numFmtId="164" xfId="0" applyAlignment="1" applyFont="1" applyNumberFormat="1">
      <alignment readingOrder="0"/>
    </xf>
    <xf borderId="0" fillId="9" fontId="1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10" fontId="6" numFmtId="0" xfId="0" applyAlignment="1" applyFill="1" applyFont="1">
      <alignment horizontal="left" readingOrder="0"/>
    </xf>
    <xf borderId="0" fillId="7" fontId="1" numFmtId="0" xfId="0" applyFont="1"/>
    <xf borderId="0" fillId="7" fontId="1" numFmtId="164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11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12" fontId="3" numFmtId="0" xfId="0" applyAlignment="1" applyFill="1" applyFont="1">
      <alignment readingOrder="0"/>
    </xf>
    <xf borderId="0" fillId="12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abo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" displayName="Table1" name="Table1" id="1">
  <tableColumns count="10">
    <tableColumn name="Column 1" id="1"/>
    <tableColumn name="Name" id="2"/>
    <tableColumn name="Title" id="3"/>
    <tableColumn name="Rate" id="4"/>
    <tableColumn name="hours" id="5"/>
    <tableColumn name="Daily" id="6"/>
    <tableColumn name="Daily + Benefit (additional 25%)" id="7"/>
    <tableColumn name="Weekly" id="8"/>
    <tableColumn name="Monthly" id="9"/>
    <tableColumn name="Insurance" id="10"/>
  </tableColumns>
  <tableStyleInfo name="Lab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14.38"/>
    <col customWidth="1" min="4" max="4" width="18.38"/>
    <col customWidth="1" min="5" max="5" width="17.88"/>
    <col customWidth="1" min="8" max="8" width="15.75"/>
  </cols>
  <sheetData>
    <row r="1">
      <c r="A1" s="1"/>
      <c r="B1" s="1" t="s">
        <v>0</v>
      </c>
      <c r="C1" s="1" t="s">
        <v>1</v>
      </c>
      <c r="E1" s="1" t="s">
        <v>0</v>
      </c>
      <c r="F1" s="1" t="s">
        <v>1</v>
      </c>
    </row>
    <row r="2">
      <c r="A2" s="1" t="s">
        <v>2</v>
      </c>
      <c r="B2" s="1" t="s">
        <v>3</v>
      </c>
      <c r="C2" s="1" t="s">
        <v>4</v>
      </c>
      <c r="E2" s="1" t="s">
        <v>5</v>
      </c>
      <c r="F2" s="1" t="s">
        <v>6</v>
      </c>
    </row>
    <row r="3">
      <c r="A3" s="1"/>
      <c r="D3" s="1" t="s">
        <v>7</v>
      </c>
      <c r="E3" s="1"/>
      <c r="H3" s="1" t="s">
        <v>7</v>
      </c>
    </row>
    <row r="4">
      <c r="A4" s="2" t="s">
        <v>8</v>
      </c>
      <c r="B4" s="1" t="s">
        <v>9</v>
      </c>
      <c r="C4" s="1" t="s">
        <v>10</v>
      </c>
      <c r="E4" s="2" t="s">
        <v>11</v>
      </c>
      <c r="F4" s="1" t="s">
        <v>12</v>
      </c>
      <c r="G4" s="1" t="s">
        <v>13</v>
      </c>
    </row>
    <row r="5">
      <c r="A5" s="1" t="s">
        <v>14</v>
      </c>
      <c r="B5" s="1" t="s">
        <v>15</v>
      </c>
      <c r="C5" s="3">
        <v>20.0</v>
      </c>
      <c r="E5" s="1" t="s">
        <v>14</v>
      </c>
      <c r="F5" s="1" t="s">
        <v>15</v>
      </c>
      <c r="G5" s="3">
        <v>20.0</v>
      </c>
    </row>
    <row r="6">
      <c r="A6" s="1" t="s">
        <v>16</v>
      </c>
      <c r="B6" s="1" t="s">
        <v>17</v>
      </c>
      <c r="C6" s="3">
        <v>50.0</v>
      </c>
      <c r="E6" s="1" t="s">
        <v>16</v>
      </c>
      <c r="F6" s="1" t="s">
        <v>17</v>
      </c>
      <c r="G6" s="3">
        <v>50.0</v>
      </c>
    </row>
    <row r="7">
      <c r="A7" s="1" t="s">
        <v>18</v>
      </c>
      <c r="B7" s="1" t="s">
        <v>19</v>
      </c>
      <c r="C7" s="3">
        <v>25.0</v>
      </c>
      <c r="E7" s="1" t="s">
        <v>18</v>
      </c>
      <c r="F7" s="1" t="s">
        <v>19</v>
      </c>
      <c r="G7" s="3">
        <v>25.0</v>
      </c>
    </row>
    <row r="8">
      <c r="A8" s="1" t="s">
        <v>20</v>
      </c>
      <c r="B8" s="1" t="s">
        <v>15</v>
      </c>
      <c r="C8" s="3">
        <v>20.0</v>
      </c>
      <c r="E8" s="1" t="s">
        <v>20</v>
      </c>
      <c r="F8" s="1" t="s">
        <v>15</v>
      </c>
      <c r="G8" s="3">
        <v>20.0</v>
      </c>
      <c r="N8" s="4">
        <v>101.0</v>
      </c>
      <c r="O8" s="5" t="s">
        <v>21</v>
      </c>
    </row>
    <row r="9">
      <c r="A9" s="1" t="s">
        <v>22</v>
      </c>
      <c r="B9" s="1" t="s">
        <v>23</v>
      </c>
      <c r="C9" s="6">
        <v>0.5</v>
      </c>
      <c r="E9" s="1" t="s">
        <v>22</v>
      </c>
      <c r="F9" s="1" t="s">
        <v>23</v>
      </c>
      <c r="G9" s="6">
        <v>0.5</v>
      </c>
      <c r="J9" s="1" t="s">
        <v>24</v>
      </c>
      <c r="K9" s="1" t="s">
        <v>25</v>
      </c>
      <c r="L9" s="3">
        <v>10.0</v>
      </c>
      <c r="N9" s="4">
        <v>102.0</v>
      </c>
      <c r="O9" s="5" t="s">
        <v>16</v>
      </c>
    </row>
    <row r="10">
      <c r="A10" s="1" t="s">
        <v>26</v>
      </c>
      <c r="B10" s="1" t="s">
        <v>23</v>
      </c>
      <c r="C10" s="6">
        <v>0.5</v>
      </c>
      <c r="E10" s="1" t="s">
        <v>26</v>
      </c>
      <c r="F10" s="1" t="s">
        <v>23</v>
      </c>
      <c r="G10" s="6">
        <v>0.5</v>
      </c>
      <c r="J10" s="1" t="s">
        <v>27</v>
      </c>
      <c r="K10" s="1" t="s">
        <v>28</v>
      </c>
      <c r="L10" s="3">
        <v>35.0</v>
      </c>
      <c r="N10" s="4">
        <v>103.0</v>
      </c>
      <c r="O10" s="5" t="s">
        <v>29</v>
      </c>
    </row>
    <row r="11">
      <c r="A11" s="1" t="s">
        <v>30</v>
      </c>
      <c r="B11" s="1" t="s">
        <v>23</v>
      </c>
      <c r="C11" s="6">
        <v>2.75</v>
      </c>
      <c r="E11" s="1" t="s">
        <v>30</v>
      </c>
      <c r="F11" s="1" t="s">
        <v>31</v>
      </c>
      <c r="G11" s="7">
        <f>5.5/2</f>
        <v>2.75</v>
      </c>
      <c r="J11" s="1" t="s">
        <v>26</v>
      </c>
      <c r="K11" s="1" t="s">
        <v>32</v>
      </c>
      <c r="L11" s="3">
        <v>25.0</v>
      </c>
      <c r="N11" s="4">
        <v>104.0</v>
      </c>
      <c r="O11" s="5" t="s">
        <v>33</v>
      </c>
    </row>
    <row r="12">
      <c r="A12" s="1" t="s">
        <v>34</v>
      </c>
      <c r="B12" s="1" t="s">
        <v>35</v>
      </c>
      <c r="C12" s="3">
        <v>60.0</v>
      </c>
      <c r="E12" s="1" t="s">
        <v>34</v>
      </c>
      <c r="F12" s="1">
        <v>1500.0</v>
      </c>
      <c r="G12" s="3">
        <v>75.0</v>
      </c>
      <c r="J12" s="1" t="s">
        <v>36</v>
      </c>
      <c r="K12" s="1" t="s">
        <v>28</v>
      </c>
      <c r="L12" s="3">
        <v>20.0</v>
      </c>
      <c r="N12" s="4">
        <v>105.0</v>
      </c>
      <c r="O12" s="5" t="s">
        <v>22</v>
      </c>
    </row>
    <row r="13">
      <c r="A13" s="1" t="s">
        <v>37</v>
      </c>
      <c r="B13" s="1">
        <v>8.0</v>
      </c>
      <c r="C13" s="3">
        <v>10.0</v>
      </c>
      <c r="E13" s="1" t="s">
        <v>37</v>
      </c>
      <c r="F13" s="1">
        <v>8.0</v>
      </c>
      <c r="G13" s="3">
        <v>10.0</v>
      </c>
      <c r="J13" s="1" t="s">
        <v>38</v>
      </c>
      <c r="K13" s="1" t="s">
        <v>39</v>
      </c>
      <c r="L13" s="6">
        <v>5.5</v>
      </c>
      <c r="N13" s="4">
        <v>106.0</v>
      </c>
      <c r="O13" s="5" t="s">
        <v>27</v>
      </c>
    </row>
    <row r="14">
      <c r="A14" s="8" t="s">
        <v>40</v>
      </c>
      <c r="B14" s="9"/>
      <c r="C14" s="10">
        <f>SUM(C5:C13)</f>
        <v>188.75</v>
      </c>
      <c r="E14" s="8" t="s">
        <v>40</v>
      </c>
      <c r="G14" s="10">
        <f>SUM(G5:G13)</f>
        <v>203.75</v>
      </c>
      <c r="N14" s="4">
        <v>107.0</v>
      </c>
      <c r="O14" s="5" t="s">
        <v>41</v>
      </c>
    </row>
    <row r="15">
      <c r="A15" s="8" t="s">
        <v>42</v>
      </c>
      <c r="B15" s="9"/>
      <c r="C15" s="9">
        <f>189/1200</f>
        <v>0.1575</v>
      </c>
      <c r="E15" s="8" t="s">
        <v>42</v>
      </c>
      <c r="G15" s="9">
        <f>204/1500</f>
        <v>0.136</v>
      </c>
      <c r="N15" s="4">
        <v>108.0</v>
      </c>
      <c r="O15" s="5" t="s">
        <v>36</v>
      </c>
    </row>
    <row r="16">
      <c r="A16" s="8" t="s">
        <v>43</v>
      </c>
      <c r="B16" s="9"/>
      <c r="C16" s="9">
        <f>sum(0.15+0.23)</f>
        <v>0.38</v>
      </c>
      <c r="D16" s="9"/>
      <c r="E16" s="8" t="s">
        <v>44</v>
      </c>
      <c r="F16" s="9"/>
      <c r="G16" s="9">
        <f>sum(0.14+0.23)</f>
        <v>0.37</v>
      </c>
      <c r="H16" s="9"/>
      <c r="I16" s="9"/>
      <c r="J16" s="9"/>
      <c r="K16" s="9"/>
      <c r="L16" s="9"/>
      <c r="M16" s="9"/>
      <c r="N16" s="4">
        <v>109.0</v>
      </c>
      <c r="O16" s="5" t="s">
        <v>38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K17" s="1" t="s">
        <v>45</v>
      </c>
      <c r="N17" s="4">
        <v>110.0</v>
      </c>
      <c r="O17" s="5" t="s">
        <v>46</v>
      </c>
    </row>
    <row r="18">
      <c r="A18" s="11" t="s">
        <v>16</v>
      </c>
      <c r="B18" s="1" t="s">
        <v>47</v>
      </c>
      <c r="C18" s="1" t="s">
        <v>13</v>
      </c>
      <c r="E18" s="1"/>
      <c r="K18" s="1" t="s">
        <v>48</v>
      </c>
      <c r="N18" s="4">
        <v>111.0</v>
      </c>
      <c r="O18" s="5" t="s">
        <v>49</v>
      </c>
    </row>
    <row r="19">
      <c r="A19" s="1" t="s">
        <v>50</v>
      </c>
      <c r="B19" s="1" t="s">
        <v>51</v>
      </c>
      <c r="C19" s="3">
        <v>20.0</v>
      </c>
      <c r="J19" s="1"/>
      <c r="K19" s="1" t="s">
        <v>52</v>
      </c>
    </row>
    <row r="20">
      <c r="A20" s="1" t="s">
        <v>49</v>
      </c>
      <c r="B20" s="1">
        <v>8.0</v>
      </c>
      <c r="C20" s="3">
        <v>10.0</v>
      </c>
    </row>
    <row r="21">
      <c r="A21" s="1" t="s">
        <v>14</v>
      </c>
      <c r="B21" s="1" t="s">
        <v>15</v>
      </c>
      <c r="C21" s="3">
        <v>20.0</v>
      </c>
      <c r="K21" s="1" t="s">
        <v>53</v>
      </c>
    </row>
    <row r="22">
      <c r="A22" s="1" t="s">
        <v>16</v>
      </c>
      <c r="B22" s="1" t="s">
        <v>17</v>
      </c>
      <c r="C22" s="3">
        <v>50.0</v>
      </c>
      <c r="K22" s="1" t="s">
        <v>54</v>
      </c>
    </row>
    <row r="23">
      <c r="A23" s="1" t="s">
        <v>55</v>
      </c>
      <c r="B23" s="1" t="s">
        <v>56</v>
      </c>
      <c r="C23" s="6">
        <v>2.75</v>
      </c>
    </row>
    <row r="24">
      <c r="A24" s="1" t="s">
        <v>22</v>
      </c>
      <c r="B24" s="1" t="s">
        <v>23</v>
      </c>
      <c r="C24" s="6">
        <v>0.5</v>
      </c>
    </row>
    <row r="25">
      <c r="A25" s="1" t="s">
        <v>26</v>
      </c>
      <c r="B25" s="1" t="s">
        <v>23</v>
      </c>
      <c r="C25" s="6">
        <v>0.5</v>
      </c>
    </row>
    <row r="26">
      <c r="A26" s="1" t="s">
        <v>57</v>
      </c>
      <c r="B26" s="1">
        <v>1500.0</v>
      </c>
      <c r="C26" s="3">
        <v>75.0</v>
      </c>
    </row>
    <row r="27">
      <c r="A27" s="8" t="s">
        <v>40</v>
      </c>
      <c r="C27" s="10">
        <f>sum(C19:C26)</f>
        <v>178.75</v>
      </c>
    </row>
    <row r="28">
      <c r="A28" s="8" t="s">
        <v>42</v>
      </c>
      <c r="C28" s="9">
        <f>179/1500</f>
        <v>0.1193333333</v>
      </c>
    </row>
    <row r="29">
      <c r="A29" s="1"/>
    </row>
    <row r="30">
      <c r="A30" s="1"/>
    </row>
    <row r="31">
      <c r="A31" s="12" t="s">
        <v>58</v>
      </c>
      <c r="B31" s="1" t="s">
        <v>9</v>
      </c>
      <c r="C31" s="1" t="s">
        <v>59</v>
      </c>
      <c r="E31" s="12" t="s">
        <v>60</v>
      </c>
      <c r="F31" s="1" t="s">
        <v>12</v>
      </c>
      <c r="G31" s="1" t="s">
        <v>61</v>
      </c>
      <c r="H31" s="1" t="s">
        <v>62</v>
      </c>
    </row>
    <row r="32">
      <c r="A32" s="1" t="s">
        <v>63</v>
      </c>
      <c r="B32" s="1" t="s">
        <v>17</v>
      </c>
      <c r="C32" s="3">
        <v>70.0</v>
      </c>
      <c r="E32" s="1" t="s">
        <v>63</v>
      </c>
      <c r="F32" s="1" t="s">
        <v>64</v>
      </c>
      <c r="G32" s="3">
        <v>80.0</v>
      </c>
    </row>
    <row r="33">
      <c r="A33" s="1" t="s">
        <v>50</v>
      </c>
      <c r="B33" s="1" t="s">
        <v>65</v>
      </c>
      <c r="C33" s="3">
        <v>10.0</v>
      </c>
      <c r="E33" s="1" t="s">
        <v>50</v>
      </c>
      <c r="F33" s="1" t="s">
        <v>65</v>
      </c>
      <c r="G33" s="3">
        <v>10.0</v>
      </c>
      <c r="I33" s="13"/>
    </row>
    <row r="34">
      <c r="A34" s="1" t="s">
        <v>49</v>
      </c>
      <c r="B34" s="13">
        <v>8.0</v>
      </c>
      <c r="C34" s="3">
        <v>10.0</v>
      </c>
      <c r="E34" s="1" t="s">
        <v>49</v>
      </c>
      <c r="F34" s="13">
        <v>8.0</v>
      </c>
      <c r="G34" s="3">
        <v>10.0</v>
      </c>
    </row>
    <row r="35">
      <c r="A35" s="1" t="s">
        <v>14</v>
      </c>
      <c r="B35" s="1" t="s">
        <v>65</v>
      </c>
      <c r="C35" s="3">
        <v>10.0</v>
      </c>
      <c r="E35" s="1" t="s">
        <v>14</v>
      </c>
      <c r="F35" s="1" t="s">
        <v>65</v>
      </c>
      <c r="G35" s="3">
        <v>10.0</v>
      </c>
    </row>
    <row r="36">
      <c r="A36" s="1" t="s">
        <v>16</v>
      </c>
      <c r="B36" s="1" t="s">
        <v>66</v>
      </c>
      <c r="C36" s="3">
        <v>30.0</v>
      </c>
      <c r="E36" s="1" t="s">
        <v>16</v>
      </c>
      <c r="F36" s="1" t="s">
        <v>66</v>
      </c>
      <c r="G36" s="3">
        <v>30.0</v>
      </c>
    </row>
    <row r="37">
      <c r="A37" s="1" t="s">
        <v>18</v>
      </c>
      <c r="B37" s="1" t="s">
        <v>66</v>
      </c>
      <c r="C37" s="3">
        <v>15.0</v>
      </c>
      <c r="E37" s="14" t="s">
        <v>67</v>
      </c>
      <c r="F37" s="1" t="s">
        <v>23</v>
      </c>
      <c r="G37" s="6">
        <v>3.5</v>
      </c>
    </row>
    <row r="38">
      <c r="A38" s="1" t="s">
        <v>67</v>
      </c>
      <c r="B38" s="1" t="s">
        <v>23</v>
      </c>
      <c r="C38" s="6">
        <v>3.5</v>
      </c>
      <c r="E38" s="14" t="s">
        <v>68</v>
      </c>
      <c r="F38" s="1" t="s">
        <v>23</v>
      </c>
      <c r="G38" s="3">
        <v>2.0</v>
      </c>
    </row>
    <row r="39">
      <c r="A39" s="1" t="s">
        <v>68</v>
      </c>
      <c r="B39" s="1" t="s">
        <v>23</v>
      </c>
      <c r="C39" s="3">
        <v>2.0</v>
      </c>
      <c r="E39" s="14" t="s">
        <v>22</v>
      </c>
      <c r="F39" s="1" t="s">
        <v>23</v>
      </c>
      <c r="G39" s="6">
        <v>0.5</v>
      </c>
    </row>
    <row r="40">
      <c r="A40" s="1" t="s">
        <v>22</v>
      </c>
      <c r="B40" s="1" t="s">
        <v>23</v>
      </c>
      <c r="C40" s="6">
        <v>0.5</v>
      </c>
      <c r="E40" s="14" t="s">
        <v>26</v>
      </c>
      <c r="F40" s="1" t="s">
        <v>23</v>
      </c>
      <c r="G40" s="6">
        <v>0.5</v>
      </c>
    </row>
    <row r="41">
      <c r="A41" s="1" t="s">
        <v>26</v>
      </c>
      <c r="B41" s="1" t="s">
        <v>23</v>
      </c>
      <c r="C41" s="6">
        <v>0.5</v>
      </c>
      <c r="E41" s="14" t="s">
        <v>57</v>
      </c>
      <c r="F41" s="14" t="s">
        <v>69</v>
      </c>
      <c r="G41" s="15">
        <v>75.0</v>
      </c>
    </row>
    <row r="42">
      <c r="A42" s="1" t="s">
        <v>57</v>
      </c>
      <c r="B42" s="1" t="s">
        <v>70</v>
      </c>
      <c r="C42" s="3">
        <v>60.0</v>
      </c>
      <c r="E42" s="8" t="s">
        <v>40</v>
      </c>
      <c r="G42" s="16">
        <f>SUM(G32:G41)</f>
        <v>221.5</v>
      </c>
    </row>
    <row r="43">
      <c r="A43" s="8" t="s">
        <v>40</v>
      </c>
      <c r="B43" s="1"/>
      <c r="C43" s="16">
        <f>SUM(C32:C42)</f>
        <v>211.5</v>
      </c>
      <c r="E43" s="8" t="s">
        <v>42</v>
      </c>
      <c r="G43" s="3">
        <f>222/1500</f>
        <v>0.148</v>
      </c>
      <c r="I43" s="1">
        <v>0.378</v>
      </c>
    </row>
    <row r="44">
      <c r="A44" s="8" t="s">
        <v>42</v>
      </c>
      <c r="B44" s="1"/>
      <c r="C44" s="16"/>
      <c r="G44" s="3"/>
    </row>
    <row r="46">
      <c r="A46" s="17" t="s">
        <v>71</v>
      </c>
      <c r="B46" s="1" t="s">
        <v>9</v>
      </c>
      <c r="C46" s="1" t="s">
        <v>59</v>
      </c>
      <c r="E46" s="17" t="s">
        <v>72</v>
      </c>
      <c r="F46" s="1" t="s">
        <v>12</v>
      </c>
      <c r="G46" s="1" t="s">
        <v>73</v>
      </c>
      <c r="H46" s="1" t="s">
        <v>62</v>
      </c>
    </row>
    <row r="47">
      <c r="A47" s="1" t="s">
        <v>74</v>
      </c>
      <c r="B47" s="1" t="s">
        <v>17</v>
      </c>
      <c r="C47" s="3">
        <v>70.0</v>
      </c>
      <c r="E47" s="1" t="s">
        <v>74</v>
      </c>
      <c r="F47" s="1" t="s">
        <v>64</v>
      </c>
      <c r="G47" s="3">
        <v>80.0</v>
      </c>
    </row>
    <row r="48">
      <c r="A48" s="1" t="s">
        <v>50</v>
      </c>
      <c r="B48" s="1" t="s">
        <v>65</v>
      </c>
      <c r="C48" s="3">
        <v>10.0</v>
      </c>
      <c r="E48" s="1" t="s">
        <v>50</v>
      </c>
      <c r="F48" s="1" t="s">
        <v>65</v>
      </c>
      <c r="G48" s="3">
        <v>10.0</v>
      </c>
    </row>
    <row r="49">
      <c r="A49" s="1" t="s">
        <v>49</v>
      </c>
      <c r="B49" s="13">
        <v>8.0</v>
      </c>
      <c r="C49" s="3">
        <v>10.0</v>
      </c>
      <c r="E49" s="1" t="s">
        <v>49</v>
      </c>
      <c r="F49" s="13">
        <v>8.0</v>
      </c>
      <c r="G49" s="3">
        <v>10.0</v>
      </c>
    </row>
    <row r="50">
      <c r="A50" s="1" t="s">
        <v>14</v>
      </c>
      <c r="B50" s="1" t="s">
        <v>65</v>
      </c>
      <c r="C50" s="3">
        <v>10.0</v>
      </c>
      <c r="E50" s="1" t="s">
        <v>14</v>
      </c>
      <c r="F50" s="1" t="s">
        <v>65</v>
      </c>
      <c r="G50" s="3">
        <v>10.0</v>
      </c>
    </row>
    <row r="51">
      <c r="A51" s="1" t="s">
        <v>16</v>
      </c>
      <c r="B51" s="1" t="s">
        <v>66</v>
      </c>
      <c r="C51" s="3">
        <v>30.0</v>
      </c>
      <c r="E51" s="1" t="s">
        <v>16</v>
      </c>
      <c r="F51" s="1" t="s">
        <v>66</v>
      </c>
      <c r="G51" s="3">
        <v>30.0</v>
      </c>
    </row>
    <row r="52">
      <c r="A52" s="1" t="s">
        <v>18</v>
      </c>
      <c r="B52" s="1" t="s">
        <v>66</v>
      </c>
      <c r="C52" s="3">
        <v>15.0</v>
      </c>
      <c r="E52" s="14" t="s">
        <v>67</v>
      </c>
      <c r="F52" s="1" t="s">
        <v>23</v>
      </c>
      <c r="G52" s="6">
        <v>3.5</v>
      </c>
    </row>
    <row r="53">
      <c r="A53" s="1" t="s">
        <v>67</v>
      </c>
      <c r="B53" s="1" t="s">
        <v>56</v>
      </c>
      <c r="C53" s="6">
        <v>3.5</v>
      </c>
      <c r="E53" s="14" t="s">
        <v>68</v>
      </c>
      <c r="F53" s="1" t="s">
        <v>23</v>
      </c>
      <c r="G53" s="3">
        <v>2.0</v>
      </c>
    </row>
    <row r="54">
      <c r="A54" s="1" t="s">
        <v>68</v>
      </c>
      <c r="B54" s="1" t="s">
        <v>56</v>
      </c>
      <c r="C54" s="3">
        <v>2.0</v>
      </c>
      <c r="E54" s="14" t="s">
        <v>22</v>
      </c>
      <c r="F54" s="1" t="s">
        <v>23</v>
      </c>
      <c r="G54" s="6">
        <v>0.5</v>
      </c>
    </row>
    <row r="55">
      <c r="A55" s="1" t="s">
        <v>22</v>
      </c>
      <c r="B55" s="1" t="s">
        <v>56</v>
      </c>
      <c r="C55" s="6">
        <v>0.5</v>
      </c>
      <c r="E55" s="14" t="s">
        <v>26</v>
      </c>
      <c r="F55" s="1" t="s">
        <v>23</v>
      </c>
      <c r="G55" s="6">
        <v>0.5</v>
      </c>
    </row>
    <row r="56">
      <c r="A56" s="1" t="s">
        <v>26</v>
      </c>
      <c r="B56" s="1" t="s">
        <v>56</v>
      </c>
      <c r="C56" s="6">
        <v>0.5</v>
      </c>
      <c r="E56" s="14" t="s">
        <v>57</v>
      </c>
      <c r="F56" s="14" t="s">
        <v>69</v>
      </c>
      <c r="G56" s="15">
        <v>75.0</v>
      </c>
    </row>
    <row r="57">
      <c r="A57" s="1" t="s">
        <v>57</v>
      </c>
      <c r="B57" s="1" t="s">
        <v>70</v>
      </c>
      <c r="C57" s="3">
        <v>60.0</v>
      </c>
      <c r="E57" s="8" t="s">
        <v>40</v>
      </c>
      <c r="F57" s="9"/>
      <c r="G57" s="10">
        <f>SUM(G47:G56)</f>
        <v>221.5</v>
      </c>
    </row>
    <row r="58">
      <c r="A58" s="8" t="s">
        <v>40</v>
      </c>
      <c r="B58" s="9"/>
      <c r="C58" s="10">
        <f>SUM(C47:C57)</f>
        <v>211.5</v>
      </c>
      <c r="E58" s="8" t="s">
        <v>42</v>
      </c>
      <c r="F58" s="9"/>
      <c r="G58" s="9">
        <f>222/1500</f>
        <v>0.148</v>
      </c>
    </row>
    <row r="59">
      <c r="A59" s="8" t="s">
        <v>42</v>
      </c>
      <c r="B59" s="9"/>
      <c r="C59" s="9">
        <f>212/1200</f>
        <v>0.1766666667</v>
      </c>
    </row>
    <row r="61">
      <c r="A61" s="18" t="s">
        <v>75</v>
      </c>
      <c r="B61" s="1" t="s">
        <v>12</v>
      </c>
      <c r="C61" s="1" t="s">
        <v>76</v>
      </c>
      <c r="D61" s="1" t="s">
        <v>77</v>
      </c>
      <c r="E61" s="1"/>
    </row>
    <row r="62">
      <c r="A62" s="1" t="s">
        <v>75</v>
      </c>
      <c r="B62" s="19" t="s">
        <v>78</v>
      </c>
      <c r="C62" s="20">
        <v>38.0</v>
      </c>
    </row>
    <row r="63">
      <c r="A63" s="1" t="s">
        <v>50</v>
      </c>
      <c r="B63" s="1" t="s">
        <v>65</v>
      </c>
      <c r="C63" s="3">
        <v>10.0</v>
      </c>
    </row>
    <row r="64">
      <c r="A64" s="1" t="s">
        <v>49</v>
      </c>
      <c r="B64" s="13">
        <v>8.0</v>
      </c>
      <c r="C64" s="3">
        <v>10.0</v>
      </c>
    </row>
    <row r="65">
      <c r="A65" s="1" t="s">
        <v>79</v>
      </c>
      <c r="B65" s="1" t="s">
        <v>65</v>
      </c>
      <c r="C65" s="3">
        <v>10.0</v>
      </c>
    </row>
    <row r="66">
      <c r="A66" s="1" t="s">
        <v>14</v>
      </c>
      <c r="B66" s="1" t="s">
        <v>66</v>
      </c>
      <c r="C66" s="3">
        <v>30.0</v>
      </c>
    </row>
    <row r="67">
      <c r="A67" s="1" t="s">
        <v>16</v>
      </c>
      <c r="B67" s="1" t="s">
        <v>66</v>
      </c>
      <c r="C67" s="3">
        <v>15.0</v>
      </c>
    </row>
    <row r="68">
      <c r="A68" s="1" t="s">
        <v>67</v>
      </c>
      <c r="B68" s="1" t="s">
        <v>56</v>
      </c>
      <c r="C68" s="6">
        <v>3.5</v>
      </c>
    </row>
    <row r="69">
      <c r="A69" s="1" t="s">
        <v>68</v>
      </c>
      <c r="B69" s="1" t="s">
        <v>56</v>
      </c>
      <c r="C69" s="3">
        <v>2.0</v>
      </c>
    </row>
    <row r="70">
      <c r="A70" s="1" t="s">
        <v>22</v>
      </c>
      <c r="B70" s="1" t="s">
        <v>56</v>
      </c>
      <c r="C70" s="6">
        <v>0.5</v>
      </c>
    </row>
    <row r="71">
      <c r="A71" s="1" t="s">
        <v>26</v>
      </c>
      <c r="B71" s="1" t="s">
        <v>56</v>
      </c>
      <c r="C71" s="6">
        <v>0.5</v>
      </c>
    </row>
    <row r="72">
      <c r="A72" s="1" t="s">
        <v>57</v>
      </c>
      <c r="B72" s="1" t="s">
        <v>69</v>
      </c>
      <c r="C72" s="3">
        <v>60.0</v>
      </c>
    </row>
    <row r="73">
      <c r="A73" s="8" t="s">
        <v>40</v>
      </c>
      <c r="B73" s="9"/>
      <c r="C73" s="10">
        <f>sum(C62:C72)</f>
        <v>179.5</v>
      </c>
    </row>
    <row r="74">
      <c r="A74" s="8" t="s">
        <v>80</v>
      </c>
      <c r="B74" s="9"/>
      <c r="C74" s="9">
        <f>180/1500</f>
        <v>0.12</v>
      </c>
    </row>
    <row r="76">
      <c r="A76" s="21" t="s">
        <v>81</v>
      </c>
      <c r="B76" s="1" t="s">
        <v>47</v>
      </c>
      <c r="C76" s="6" t="s">
        <v>82</v>
      </c>
      <c r="D76" s="1" t="s">
        <v>83</v>
      </c>
      <c r="J76" s="4">
        <v>101.0</v>
      </c>
      <c r="K76" s="5" t="s">
        <v>21</v>
      </c>
    </row>
    <row r="77">
      <c r="A77" s="1" t="s">
        <v>84</v>
      </c>
      <c r="B77" s="1" t="s">
        <v>19</v>
      </c>
      <c r="C77" s="3">
        <v>50.0</v>
      </c>
      <c r="E77" s="7">
        <f>25/1500</f>
        <v>0.01666666667</v>
      </c>
      <c r="J77" s="4">
        <v>102.0</v>
      </c>
      <c r="K77" s="5" t="s">
        <v>16</v>
      </c>
    </row>
    <row r="78">
      <c r="A78" s="1" t="s">
        <v>75</v>
      </c>
      <c r="B78" s="1" t="s">
        <v>28</v>
      </c>
      <c r="C78" s="6">
        <v>23.75</v>
      </c>
      <c r="E78" s="7">
        <f>5/1500</f>
        <v>0.003333333333</v>
      </c>
      <c r="J78" s="4">
        <v>103.0</v>
      </c>
      <c r="K78" s="5" t="s">
        <v>29</v>
      </c>
    </row>
    <row r="79">
      <c r="A79" s="1" t="s">
        <v>50</v>
      </c>
      <c r="B79" s="22" t="s">
        <v>65</v>
      </c>
      <c r="C79" s="15">
        <v>10.0</v>
      </c>
      <c r="E79" s="7">
        <f>14/1500</f>
        <v>0.009333333333</v>
      </c>
      <c r="J79" s="4">
        <v>104.0</v>
      </c>
      <c r="K79" s="5" t="s">
        <v>33</v>
      </c>
    </row>
    <row r="80">
      <c r="A80" s="1" t="s">
        <v>49</v>
      </c>
      <c r="B80" s="22">
        <v>8.0</v>
      </c>
      <c r="C80" s="15">
        <v>10.0</v>
      </c>
      <c r="E80" s="7">
        <f>8/1500</f>
        <v>0.005333333333</v>
      </c>
      <c r="J80" s="4">
        <v>105.0</v>
      </c>
      <c r="K80" s="5" t="s">
        <v>22</v>
      </c>
    </row>
    <row r="81">
      <c r="A81" s="1" t="s">
        <v>14</v>
      </c>
      <c r="B81" s="22" t="s">
        <v>65</v>
      </c>
      <c r="C81" s="15">
        <v>10.0</v>
      </c>
      <c r="E81" s="7">
        <f>14/1500</f>
        <v>0.009333333333</v>
      </c>
      <c r="J81" s="4">
        <v>106.0</v>
      </c>
      <c r="K81" s="5" t="s">
        <v>27</v>
      </c>
    </row>
    <row r="82">
      <c r="A82" s="1" t="s">
        <v>16</v>
      </c>
      <c r="B82" s="22" t="s">
        <v>66</v>
      </c>
      <c r="C82" s="15">
        <v>30.0</v>
      </c>
      <c r="E82" s="7">
        <f>20/1500</f>
        <v>0.01333333333</v>
      </c>
      <c r="J82" s="4">
        <v>107.0</v>
      </c>
      <c r="K82" s="5" t="s">
        <v>41</v>
      </c>
    </row>
    <row r="83">
      <c r="A83" s="14" t="s">
        <v>67</v>
      </c>
      <c r="B83" s="22" t="s">
        <v>56</v>
      </c>
      <c r="C83" s="23">
        <v>3.5</v>
      </c>
      <c r="E83" s="7">
        <f t="shared" ref="E83:E86" si="1">0.5/1500</f>
        <v>0.0003333333333</v>
      </c>
      <c r="J83" s="4">
        <v>108.0</v>
      </c>
      <c r="K83" s="5" t="s">
        <v>36</v>
      </c>
    </row>
    <row r="84">
      <c r="A84" s="14" t="s">
        <v>68</v>
      </c>
      <c r="B84" s="22" t="s">
        <v>56</v>
      </c>
      <c r="C84" s="24">
        <v>2.0</v>
      </c>
      <c r="E84" s="7">
        <f t="shared" si="1"/>
        <v>0.0003333333333</v>
      </c>
      <c r="J84" s="4">
        <v>109.0</v>
      </c>
      <c r="K84" s="5" t="s">
        <v>38</v>
      </c>
    </row>
    <row r="85">
      <c r="A85" s="14" t="s">
        <v>22</v>
      </c>
      <c r="B85" s="22" t="s">
        <v>56</v>
      </c>
      <c r="C85" s="23">
        <v>0.5</v>
      </c>
      <c r="E85" s="7">
        <f t="shared" si="1"/>
        <v>0.0003333333333</v>
      </c>
      <c r="J85" s="4">
        <v>110.0</v>
      </c>
      <c r="K85" s="5" t="s">
        <v>46</v>
      </c>
    </row>
    <row r="86">
      <c r="A86" s="14" t="s">
        <v>26</v>
      </c>
      <c r="B86" s="22" t="s">
        <v>56</v>
      </c>
      <c r="C86" s="23">
        <v>0.5</v>
      </c>
      <c r="E86" s="7">
        <f t="shared" si="1"/>
        <v>0.0003333333333</v>
      </c>
      <c r="J86" s="4">
        <v>111.0</v>
      </c>
      <c r="K86" s="5" t="s">
        <v>49</v>
      </c>
    </row>
    <row r="87">
      <c r="A87" s="1" t="s">
        <v>34</v>
      </c>
      <c r="B87" s="25" t="s">
        <v>69</v>
      </c>
      <c r="C87" s="26">
        <v>75.0</v>
      </c>
      <c r="J87" s="4">
        <v>112.0</v>
      </c>
      <c r="K87" s="5" t="s">
        <v>85</v>
      </c>
    </row>
    <row r="88">
      <c r="A88" s="8" t="s">
        <v>40</v>
      </c>
      <c r="B88" s="9"/>
      <c r="C88" s="10">
        <f>SUM(C77:C87)</f>
        <v>215.25</v>
      </c>
      <c r="J88" s="4">
        <v>113.0</v>
      </c>
      <c r="K88" s="5" t="s">
        <v>75</v>
      </c>
    </row>
    <row r="89">
      <c r="A89" s="8" t="s">
        <v>42</v>
      </c>
      <c r="B89" s="9"/>
      <c r="C89" s="9">
        <f>215/1500</f>
        <v>0.1433333333</v>
      </c>
      <c r="J89" s="4">
        <v>114.0</v>
      </c>
      <c r="K89" s="5" t="s">
        <v>74</v>
      </c>
    </row>
    <row r="92">
      <c r="A92" s="1" t="s">
        <v>86</v>
      </c>
    </row>
    <row r="93">
      <c r="A93" s="1" t="s">
        <v>87</v>
      </c>
    </row>
    <row r="94">
      <c r="A94" s="27" t="s">
        <v>88</v>
      </c>
      <c r="B94" s="27" t="s">
        <v>89</v>
      </c>
      <c r="C94" s="27" t="s">
        <v>90</v>
      </c>
      <c r="D94" s="1" t="s">
        <v>91</v>
      </c>
    </row>
    <row r="95">
      <c r="A95" s="27" t="s">
        <v>84</v>
      </c>
      <c r="B95" s="28">
        <v>25.0</v>
      </c>
      <c r="C95" s="27">
        <v>0.0267</v>
      </c>
      <c r="D95" s="1">
        <v>17.24</v>
      </c>
    </row>
    <row r="96">
      <c r="A96" s="27" t="s">
        <v>75</v>
      </c>
      <c r="B96" s="28">
        <v>5.0</v>
      </c>
      <c r="C96" s="27">
        <v>0.0033</v>
      </c>
      <c r="D96" s="1">
        <v>3.45</v>
      </c>
    </row>
    <row r="97">
      <c r="A97" s="27" t="s">
        <v>50</v>
      </c>
      <c r="B97" s="28">
        <v>14.0</v>
      </c>
      <c r="C97" s="27">
        <v>0.0093</v>
      </c>
      <c r="D97" s="1">
        <v>9.66</v>
      </c>
    </row>
    <row r="98">
      <c r="A98" s="27" t="s">
        <v>49</v>
      </c>
      <c r="B98" s="28">
        <v>9.0</v>
      </c>
      <c r="C98" s="27">
        <v>0.006</v>
      </c>
      <c r="D98" s="1">
        <v>6.21</v>
      </c>
    </row>
    <row r="99">
      <c r="A99" s="27" t="s">
        <v>14</v>
      </c>
      <c r="B99" s="28">
        <v>14.0</v>
      </c>
      <c r="C99" s="27">
        <v>0.0093</v>
      </c>
      <c r="D99" s="1">
        <v>9.66</v>
      </c>
    </row>
    <row r="100">
      <c r="A100" s="27" t="s">
        <v>16</v>
      </c>
      <c r="B100" s="28">
        <v>20.0</v>
      </c>
      <c r="C100" s="27">
        <v>0.0133</v>
      </c>
      <c r="D100" s="1">
        <v>13.79</v>
      </c>
    </row>
    <row r="101">
      <c r="A101" s="27" t="s">
        <v>92</v>
      </c>
      <c r="B101" s="28">
        <v>0.5</v>
      </c>
      <c r="C101" s="27">
        <v>3.0E-4</v>
      </c>
      <c r="D101" s="1">
        <v>0.34</v>
      </c>
    </row>
    <row r="102">
      <c r="A102" s="27" t="s">
        <v>93</v>
      </c>
      <c r="B102" s="28">
        <v>0.5</v>
      </c>
      <c r="C102" s="27">
        <v>3.0E-4</v>
      </c>
      <c r="D102" s="1">
        <v>0.34</v>
      </c>
    </row>
    <row r="103">
      <c r="A103" s="27" t="s">
        <v>94</v>
      </c>
      <c r="B103" s="28">
        <v>0.5</v>
      </c>
      <c r="C103" s="27">
        <v>3.0E-4</v>
      </c>
      <c r="D103" s="1">
        <v>0.34</v>
      </c>
    </row>
    <row r="104">
      <c r="A104" s="27" t="s">
        <v>26</v>
      </c>
      <c r="B104" s="28">
        <v>0.5</v>
      </c>
      <c r="C104" s="27">
        <v>3.0E-4</v>
      </c>
      <c r="D104" s="1">
        <v>0.34</v>
      </c>
    </row>
    <row r="105">
      <c r="A105" s="1" t="s">
        <v>57</v>
      </c>
      <c r="B105" s="1">
        <v>45.0</v>
      </c>
      <c r="C105" s="1">
        <v>0.03</v>
      </c>
      <c r="D105" s="1">
        <v>38.79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  <c r="E1" s="1" t="s">
        <v>96</v>
      </c>
      <c r="F1" s="1" t="s">
        <v>97</v>
      </c>
      <c r="G1" s="1" t="s">
        <v>98</v>
      </c>
    </row>
    <row r="2">
      <c r="A2" s="1" t="s">
        <v>99</v>
      </c>
      <c r="B2" s="1">
        <v>1.2</v>
      </c>
      <c r="C2" s="1">
        <v>1.25</v>
      </c>
    </row>
    <row r="3">
      <c r="A3" s="1" t="s">
        <v>100</v>
      </c>
      <c r="B3" s="1">
        <v>1.1</v>
      </c>
      <c r="C3" s="1">
        <v>1.2</v>
      </c>
    </row>
    <row r="4">
      <c r="A4" s="1" t="s">
        <v>101</v>
      </c>
      <c r="B4" s="1">
        <v>1.25</v>
      </c>
      <c r="C4" s="1">
        <v>1.3</v>
      </c>
    </row>
    <row r="5">
      <c r="A5" s="1" t="s">
        <v>102</v>
      </c>
      <c r="B5" s="1">
        <v>1.1</v>
      </c>
      <c r="C5" s="1">
        <v>1.2</v>
      </c>
    </row>
    <row r="6">
      <c r="A6" s="1" t="s">
        <v>103</v>
      </c>
      <c r="B6" s="1">
        <v>1.0</v>
      </c>
      <c r="C6" s="1">
        <v>1.15</v>
      </c>
    </row>
    <row r="7">
      <c r="A7" s="1" t="s">
        <v>104</v>
      </c>
      <c r="B7" s="1">
        <v>1.0</v>
      </c>
      <c r="C7" s="1">
        <v>1.15</v>
      </c>
    </row>
    <row r="10">
      <c r="A10" s="1" t="s">
        <v>105</v>
      </c>
      <c r="B10" s="1" t="s">
        <v>106</v>
      </c>
      <c r="C10" s="1">
        <v>46.0</v>
      </c>
      <c r="D10" s="1">
        <v>52.0</v>
      </c>
      <c r="E10" s="7">
        <f t="shared" ref="E10:E15" si="1">C10/50</f>
        <v>0.92</v>
      </c>
      <c r="F10" s="7">
        <f>E10-'Egg Rolls'!E22</f>
        <v>0.92</v>
      </c>
      <c r="G10" s="7">
        <f t="shared" ref="G10:G15" si="2">F10/E10</f>
        <v>1</v>
      </c>
    </row>
    <row r="11">
      <c r="A11" s="1" t="s">
        <v>107</v>
      </c>
      <c r="B11" s="1" t="s">
        <v>108</v>
      </c>
      <c r="C11" s="1">
        <v>44.0</v>
      </c>
      <c r="D11" s="1">
        <v>48.0</v>
      </c>
      <c r="E11" s="7">
        <f t="shared" si="1"/>
        <v>0.88</v>
      </c>
      <c r="F11" s="7">
        <f>E11-'Egg Rolls'!G58</f>
        <v>0.732</v>
      </c>
      <c r="G11" s="7">
        <f t="shared" si="2"/>
        <v>0.8318181818</v>
      </c>
    </row>
    <row r="12">
      <c r="A12" s="1" t="s">
        <v>109</v>
      </c>
      <c r="B12" s="1" t="s">
        <v>110</v>
      </c>
      <c r="C12" s="1">
        <v>49.0</v>
      </c>
      <c r="D12" s="1">
        <v>49.0</v>
      </c>
      <c r="E12" s="7">
        <f t="shared" si="1"/>
        <v>0.98</v>
      </c>
      <c r="F12" s="7">
        <f>E12-'Egg Rolls'!C74</f>
        <v>0.86</v>
      </c>
      <c r="G12" s="7">
        <f t="shared" si="2"/>
        <v>0.8775510204</v>
      </c>
    </row>
    <row r="13">
      <c r="A13" s="1" t="s">
        <v>111</v>
      </c>
      <c r="B13" s="1" t="s">
        <v>112</v>
      </c>
      <c r="C13" s="1">
        <v>44.0</v>
      </c>
      <c r="D13" s="1">
        <v>50.0</v>
      </c>
      <c r="E13" s="7">
        <f t="shared" si="1"/>
        <v>0.88</v>
      </c>
      <c r="F13" s="7">
        <f>E13-0.148</f>
        <v>0.732</v>
      </c>
      <c r="G13" s="7">
        <f t="shared" si="2"/>
        <v>0.8318181818</v>
      </c>
    </row>
    <row r="14">
      <c r="A14" s="1" t="s">
        <v>113</v>
      </c>
      <c r="B14" s="1" t="s">
        <v>114</v>
      </c>
      <c r="C14" s="1">
        <v>44.0</v>
      </c>
      <c r="D14" s="1">
        <v>46.0</v>
      </c>
      <c r="E14" s="7">
        <f t="shared" si="1"/>
        <v>0.88</v>
      </c>
      <c r="F14" s="7">
        <f>E14-'Egg Rolls'!C28</f>
        <v>0.7606666667</v>
      </c>
      <c r="G14" s="7">
        <f t="shared" si="2"/>
        <v>0.8643939394</v>
      </c>
    </row>
    <row r="15">
      <c r="A15" s="1" t="s">
        <v>115</v>
      </c>
      <c r="B15" s="1" t="s">
        <v>114</v>
      </c>
      <c r="C15" s="1">
        <v>43.0</v>
      </c>
      <c r="D15" s="1">
        <v>48.0</v>
      </c>
      <c r="E15" s="7">
        <f t="shared" si="1"/>
        <v>0.86</v>
      </c>
      <c r="F15" s="7">
        <f>E15-'Egg Rolls'!G16</f>
        <v>0.49</v>
      </c>
      <c r="G15" s="7">
        <f t="shared" si="2"/>
        <v>0.5697674419</v>
      </c>
    </row>
    <row r="16">
      <c r="A16" s="1" t="s">
        <v>116</v>
      </c>
      <c r="B16" s="1" t="s">
        <v>117</v>
      </c>
      <c r="C16" s="1">
        <v>14.0</v>
      </c>
    </row>
    <row r="17">
      <c r="A17" s="1" t="s">
        <v>118</v>
      </c>
      <c r="B17" s="1" t="s">
        <v>119</v>
      </c>
      <c r="C17" s="1">
        <v>40.0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75"/>
    <col customWidth="1" min="3" max="3" width="27.88"/>
  </cols>
  <sheetData>
    <row r="1">
      <c r="A1" s="1"/>
      <c r="B1" s="1" t="s">
        <v>120</v>
      </c>
      <c r="C1" s="1"/>
      <c r="D1" s="1" t="s">
        <v>121</v>
      </c>
      <c r="E1" s="1" t="s">
        <v>122</v>
      </c>
      <c r="F1" s="1" t="s">
        <v>123</v>
      </c>
      <c r="G1" s="1" t="s">
        <v>124</v>
      </c>
    </row>
    <row r="2">
      <c r="A2" s="1" t="s">
        <v>125</v>
      </c>
      <c r="B2" s="1"/>
      <c r="D2" s="6">
        <v>36.67</v>
      </c>
      <c r="E2" s="3">
        <v>1100.0</v>
      </c>
      <c r="F2" s="3"/>
    </row>
    <row r="3">
      <c r="A3" s="1" t="s">
        <v>126</v>
      </c>
      <c r="B3" s="1"/>
      <c r="E3" s="3">
        <v>3450.0</v>
      </c>
      <c r="F3" s="3"/>
    </row>
    <row r="4">
      <c r="A4" s="1" t="s">
        <v>127</v>
      </c>
      <c r="B4" s="1"/>
      <c r="E4" s="7">
        <f>2200/12</f>
        <v>183.3333333</v>
      </c>
      <c r="G4" s="3">
        <v>2200.0</v>
      </c>
    </row>
    <row r="5">
      <c r="A5" s="1" t="s">
        <v>128</v>
      </c>
      <c r="B5" s="1"/>
      <c r="E5" s="3">
        <v>1100.0</v>
      </c>
      <c r="F5" s="3"/>
    </row>
    <row r="6">
      <c r="A6" s="1" t="s">
        <v>129</v>
      </c>
      <c r="B6" s="1"/>
      <c r="C6" s="29" t="s">
        <v>130</v>
      </c>
      <c r="E6" s="1">
        <v>100.58</v>
      </c>
    </row>
    <row r="7">
      <c r="A7" s="1" t="s">
        <v>131</v>
      </c>
      <c r="B7" s="1"/>
      <c r="E7" s="7">
        <f>450/3</f>
        <v>150</v>
      </c>
      <c r="F7" s="3">
        <v>450.0</v>
      </c>
    </row>
    <row r="8">
      <c r="A8" s="1" t="s">
        <v>132</v>
      </c>
      <c r="B8" s="1"/>
      <c r="E8" s="3">
        <v>75.0</v>
      </c>
    </row>
    <row r="9">
      <c r="A9" s="1" t="s">
        <v>133</v>
      </c>
      <c r="B9" s="1"/>
      <c r="E9" s="7">
        <f>105/12</f>
        <v>8.75</v>
      </c>
      <c r="G9" s="1">
        <v>105.0</v>
      </c>
    </row>
    <row r="10">
      <c r="A10" s="30"/>
      <c r="B10" s="18"/>
      <c r="C10" s="30"/>
      <c r="D10" s="30"/>
      <c r="E10" s="31">
        <f>SUM(E2:E9)</f>
        <v>6167.663333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B11" s="1"/>
    </row>
    <row r="12">
      <c r="B12" s="1"/>
    </row>
    <row r="13">
      <c r="B13" s="1" t="s">
        <v>134</v>
      </c>
      <c r="C13" s="1"/>
      <c r="D13" s="13" t="s">
        <v>135</v>
      </c>
    </row>
    <row r="14">
      <c r="A14" s="1" t="s">
        <v>136</v>
      </c>
    </row>
    <row r="15">
      <c r="A15" s="1" t="s">
        <v>137</v>
      </c>
      <c r="B15" s="1">
        <v>100.0</v>
      </c>
      <c r="C15" s="1" t="s">
        <v>138</v>
      </c>
      <c r="D15" s="7">
        <f>36.49*2</f>
        <v>72.98</v>
      </c>
    </row>
    <row r="16">
      <c r="A16" s="1" t="s">
        <v>139</v>
      </c>
      <c r="B16" s="1">
        <v>100.0</v>
      </c>
      <c r="C16" s="1">
        <v>25.99</v>
      </c>
      <c r="D16" s="1">
        <v>25.99</v>
      </c>
    </row>
    <row r="17">
      <c r="A17" s="1" t="s">
        <v>140</v>
      </c>
      <c r="B17" s="1">
        <v>2000.0</v>
      </c>
      <c r="C17" s="3">
        <v>20.0</v>
      </c>
      <c r="D17" s="1">
        <v>20.0</v>
      </c>
    </row>
    <row r="18">
      <c r="A18" s="1" t="s">
        <v>141</v>
      </c>
      <c r="B18" s="1">
        <v>500.0</v>
      </c>
      <c r="C18" s="1">
        <v>54.99</v>
      </c>
      <c r="D18" s="1">
        <v>54.99</v>
      </c>
    </row>
    <row r="19">
      <c r="A19" s="1" t="s">
        <v>142</v>
      </c>
      <c r="B19" s="1" t="s">
        <v>143</v>
      </c>
      <c r="C19" s="1" t="s">
        <v>144</v>
      </c>
      <c r="D19" s="7">
        <f>34.99*4</f>
        <v>139.96</v>
      </c>
    </row>
    <row r="20">
      <c r="A20" s="1" t="s">
        <v>145</v>
      </c>
      <c r="B20" s="1">
        <v>2000.0</v>
      </c>
      <c r="C20" s="3">
        <v>5.0</v>
      </c>
      <c r="D20" s="1">
        <v>5.0</v>
      </c>
    </row>
    <row r="21">
      <c r="A21" s="1" t="s">
        <v>146</v>
      </c>
      <c r="B21" s="1">
        <v>200.0</v>
      </c>
      <c r="C21" s="6">
        <v>51.99</v>
      </c>
      <c r="D21" s="1">
        <v>519.0</v>
      </c>
    </row>
    <row r="22">
      <c r="A22" s="1" t="s">
        <v>147</v>
      </c>
      <c r="B22" s="1" t="s">
        <v>148</v>
      </c>
      <c r="C22" s="1" t="s">
        <v>149</v>
      </c>
      <c r="D22" s="7">
        <f>23.99*2</f>
        <v>47.98</v>
      </c>
    </row>
    <row r="23">
      <c r="A23" s="1" t="s">
        <v>150</v>
      </c>
      <c r="B23" s="1">
        <v>2.0</v>
      </c>
      <c r="C23" s="1" t="s">
        <v>151</v>
      </c>
      <c r="D23" s="7">
        <f>23.49*2</f>
        <v>46.98</v>
      </c>
    </row>
    <row r="24">
      <c r="A24" s="1" t="s">
        <v>152</v>
      </c>
      <c r="B24" s="1">
        <v>2.0</v>
      </c>
      <c r="C24" s="1" t="s">
        <v>153</v>
      </c>
      <c r="D24" s="7">
        <f>22.99*2</f>
        <v>45.98</v>
      </c>
    </row>
    <row r="25">
      <c r="A25" s="30"/>
      <c r="B25" s="18"/>
      <c r="C25" s="30"/>
      <c r="D25" s="30">
        <f>SUM(D14:D24)</f>
        <v>978.86</v>
      </c>
      <c r="E25" s="3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9.0"/>
    <col customWidth="1" min="3" max="3" width="18.13"/>
    <col customWidth="1" min="7" max="7" width="31.75"/>
    <col customWidth="1" min="8" max="8" width="14.0"/>
    <col customWidth="1" min="9" max="9" width="14.75"/>
  </cols>
  <sheetData>
    <row r="1" ht="22.5" customHeight="1">
      <c r="A1" s="32" t="s">
        <v>154</v>
      </c>
      <c r="B1" s="32" t="s">
        <v>155</v>
      </c>
      <c r="C1" s="32" t="s">
        <v>156</v>
      </c>
      <c r="D1" s="32" t="s">
        <v>157</v>
      </c>
      <c r="E1" s="33" t="s">
        <v>158</v>
      </c>
      <c r="F1" s="33" t="s">
        <v>121</v>
      </c>
      <c r="G1" s="33" t="s">
        <v>159</v>
      </c>
      <c r="H1" s="33" t="s">
        <v>160</v>
      </c>
      <c r="I1" s="33" t="s">
        <v>122</v>
      </c>
      <c r="J1" s="34" t="s">
        <v>161</v>
      </c>
    </row>
    <row r="2" ht="22.5" customHeight="1">
      <c r="A2" s="35"/>
      <c r="B2" s="35" t="s">
        <v>162</v>
      </c>
      <c r="C2" s="35" t="s">
        <v>163</v>
      </c>
      <c r="D2" s="35" t="s">
        <v>164</v>
      </c>
      <c r="E2" s="35" t="s">
        <v>165</v>
      </c>
      <c r="F2" s="35">
        <v>266.67</v>
      </c>
      <c r="G2" s="36">
        <f t="shared" ref="G2:G11" si="1">F2*1.25</f>
        <v>333.3375</v>
      </c>
      <c r="H2" s="35">
        <f>8000/4</f>
        <v>2000</v>
      </c>
      <c r="I2" s="35">
        <v>8000.0</v>
      </c>
      <c r="J2" s="37"/>
    </row>
    <row r="3" ht="22.5" customHeight="1">
      <c r="A3" s="35"/>
      <c r="B3" s="35" t="s">
        <v>166</v>
      </c>
      <c r="C3" s="35" t="s">
        <v>163</v>
      </c>
      <c r="D3" s="35" t="s">
        <v>164</v>
      </c>
      <c r="E3" s="35" t="s">
        <v>165</v>
      </c>
      <c r="F3" s="35">
        <v>266.67</v>
      </c>
      <c r="G3" s="36">
        <f t="shared" si="1"/>
        <v>333.3375</v>
      </c>
      <c r="H3" s="35">
        <v>2000.0</v>
      </c>
      <c r="I3" s="35">
        <v>8000.0</v>
      </c>
      <c r="J3" s="37"/>
    </row>
    <row r="4" ht="22.5" customHeight="1">
      <c r="A4" s="35"/>
      <c r="B4" s="35" t="s">
        <v>167</v>
      </c>
      <c r="C4" s="35" t="s">
        <v>168</v>
      </c>
      <c r="D4" s="35">
        <v>19.97</v>
      </c>
      <c r="E4" s="35">
        <v>130.0</v>
      </c>
      <c r="F4" s="35">
        <f t="shared" ref="F4:F10" si="2">D4*8</f>
        <v>159.76</v>
      </c>
      <c r="G4" s="36">
        <f t="shared" si="1"/>
        <v>199.7</v>
      </c>
      <c r="H4" s="35">
        <f t="shared" ref="H4:H10" si="3">D4*40</f>
        <v>798.8</v>
      </c>
      <c r="I4" s="38">
        <f t="shared" ref="I4:I10" si="4">D4*E4</f>
        <v>2596.1</v>
      </c>
      <c r="J4" s="39"/>
    </row>
    <row r="5" ht="22.5" customHeight="1">
      <c r="A5" s="35"/>
      <c r="B5" s="35" t="s">
        <v>169</v>
      </c>
      <c r="C5" s="35" t="s">
        <v>170</v>
      </c>
      <c r="D5" s="35">
        <v>21.0</v>
      </c>
      <c r="E5" s="35">
        <v>160.0</v>
      </c>
      <c r="F5" s="35">
        <f t="shared" si="2"/>
        <v>168</v>
      </c>
      <c r="G5" s="36">
        <f t="shared" si="1"/>
        <v>210</v>
      </c>
      <c r="H5" s="35">
        <f t="shared" si="3"/>
        <v>840</v>
      </c>
      <c r="I5" s="38">
        <f t="shared" si="4"/>
        <v>3360</v>
      </c>
      <c r="J5" s="39"/>
    </row>
    <row r="6" ht="22.5" customHeight="1">
      <c r="A6" s="35"/>
      <c r="B6" s="35" t="s">
        <v>171</v>
      </c>
      <c r="C6" s="35" t="s">
        <v>170</v>
      </c>
      <c r="D6" s="35">
        <v>19.97</v>
      </c>
      <c r="E6" s="35">
        <v>130.0</v>
      </c>
      <c r="F6" s="35">
        <f t="shared" si="2"/>
        <v>159.76</v>
      </c>
      <c r="G6" s="36">
        <f t="shared" si="1"/>
        <v>199.7</v>
      </c>
      <c r="H6" s="35">
        <f t="shared" si="3"/>
        <v>798.8</v>
      </c>
      <c r="I6" s="38">
        <f t="shared" si="4"/>
        <v>2596.1</v>
      </c>
      <c r="J6" s="39"/>
    </row>
    <row r="7" ht="22.5" customHeight="1">
      <c r="A7" s="35"/>
      <c r="B7" s="35" t="s">
        <v>172</v>
      </c>
      <c r="C7" s="35" t="s">
        <v>170</v>
      </c>
      <c r="D7" s="35">
        <v>19.97</v>
      </c>
      <c r="E7" s="35">
        <v>130.0</v>
      </c>
      <c r="F7" s="35">
        <f t="shared" si="2"/>
        <v>159.76</v>
      </c>
      <c r="G7" s="36">
        <f t="shared" si="1"/>
        <v>199.7</v>
      </c>
      <c r="H7" s="35">
        <f t="shared" si="3"/>
        <v>798.8</v>
      </c>
      <c r="I7" s="38">
        <f t="shared" si="4"/>
        <v>2596.1</v>
      </c>
      <c r="J7" s="39"/>
    </row>
    <row r="8" ht="22.5" customHeight="1">
      <c r="A8" s="35"/>
      <c r="B8" s="35" t="s">
        <v>173</v>
      </c>
      <c r="C8" s="35" t="s">
        <v>170</v>
      </c>
      <c r="D8" s="35">
        <v>19.97</v>
      </c>
      <c r="E8" s="35">
        <v>130.0</v>
      </c>
      <c r="F8" s="35">
        <f t="shared" si="2"/>
        <v>159.76</v>
      </c>
      <c r="G8" s="36">
        <f t="shared" si="1"/>
        <v>199.7</v>
      </c>
      <c r="H8" s="35">
        <f t="shared" si="3"/>
        <v>798.8</v>
      </c>
      <c r="I8" s="38">
        <f t="shared" si="4"/>
        <v>2596.1</v>
      </c>
      <c r="J8" s="39"/>
    </row>
    <row r="9" ht="22.5" customHeight="1">
      <c r="A9" s="35"/>
      <c r="B9" s="35" t="s">
        <v>174</v>
      </c>
      <c r="C9" s="35" t="s">
        <v>175</v>
      </c>
      <c r="D9" s="35">
        <v>21.0</v>
      </c>
      <c r="E9" s="35">
        <v>160.0</v>
      </c>
      <c r="F9" s="35">
        <f t="shared" si="2"/>
        <v>168</v>
      </c>
      <c r="G9" s="36">
        <f t="shared" si="1"/>
        <v>210</v>
      </c>
      <c r="H9" s="35">
        <f t="shared" si="3"/>
        <v>840</v>
      </c>
      <c r="I9" s="38">
        <f t="shared" si="4"/>
        <v>3360</v>
      </c>
      <c r="J9" s="39"/>
    </row>
    <row r="10" ht="22.5" customHeight="1">
      <c r="A10" s="35"/>
      <c r="B10" s="35" t="s">
        <v>176</v>
      </c>
      <c r="C10" s="35" t="s">
        <v>175</v>
      </c>
      <c r="D10" s="35">
        <v>19.97</v>
      </c>
      <c r="E10" s="35">
        <v>130.0</v>
      </c>
      <c r="F10" s="35">
        <f t="shared" si="2"/>
        <v>159.76</v>
      </c>
      <c r="G10" s="36">
        <f t="shared" si="1"/>
        <v>199.7</v>
      </c>
      <c r="H10" s="35">
        <f t="shared" si="3"/>
        <v>798.8</v>
      </c>
      <c r="I10" s="38">
        <f t="shared" si="4"/>
        <v>2596.1</v>
      </c>
      <c r="J10" s="39"/>
    </row>
    <row r="11" ht="22.5" customHeight="1">
      <c r="A11" s="35" t="s">
        <v>40</v>
      </c>
      <c r="F11" s="38">
        <f>SUM(F2:F10)</f>
        <v>1668.14</v>
      </c>
      <c r="G11" s="36">
        <f t="shared" si="1"/>
        <v>2085.175</v>
      </c>
      <c r="H11" s="38"/>
      <c r="I11" s="38">
        <f>SUM(I2:I10)</f>
        <v>35700.5</v>
      </c>
      <c r="J11" s="39"/>
    </row>
    <row r="12">
      <c r="G12" s="1"/>
    </row>
    <row r="15">
      <c r="B15" s="1" t="s">
        <v>177</v>
      </c>
      <c r="C15" s="1"/>
    </row>
    <row r="16">
      <c r="A16" s="1" t="s">
        <v>178</v>
      </c>
      <c r="B16" s="1">
        <v>200000.0</v>
      </c>
    </row>
    <row r="17">
      <c r="A17" s="1" t="s">
        <v>179</v>
      </c>
      <c r="B17" s="1">
        <v>8000.0</v>
      </c>
    </row>
    <row r="18">
      <c r="A18" s="1" t="s">
        <v>180</v>
      </c>
      <c r="B18" s="7">
        <f>8000/8</f>
        <v>1000</v>
      </c>
    </row>
    <row r="20">
      <c r="B20" s="1" t="s">
        <v>181</v>
      </c>
      <c r="F20" s="1" t="s">
        <v>182</v>
      </c>
    </row>
    <row r="22">
      <c r="A22" s="1" t="s">
        <v>183</v>
      </c>
      <c r="B22" s="1">
        <v>3550.0</v>
      </c>
    </row>
    <row r="23">
      <c r="A23" s="3" t="s">
        <v>184</v>
      </c>
      <c r="B23" s="1">
        <v>7155.86</v>
      </c>
    </row>
    <row r="24">
      <c r="A24" s="1" t="s">
        <v>185</v>
      </c>
      <c r="B24" s="1">
        <v>35700.5</v>
      </c>
      <c r="F24" s="1" t="s">
        <v>186</v>
      </c>
    </row>
    <row r="25">
      <c r="A25" s="40" t="s">
        <v>187</v>
      </c>
      <c r="B25" s="41">
        <f>sum(B22,B23,B24)</f>
        <v>46406.36</v>
      </c>
      <c r="C25" s="1" t="s">
        <v>188</v>
      </c>
    </row>
    <row r="26">
      <c r="A26" s="1" t="s">
        <v>189</v>
      </c>
      <c r="B26" s="7">
        <f>B25/B16</f>
        <v>0.2320318</v>
      </c>
    </row>
    <row r="29">
      <c r="B29" s="7">
        <f>110/1000</f>
        <v>0.11</v>
      </c>
      <c r="C29" s="7">
        <f>100/1000</f>
        <v>0.1</v>
      </c>
    </row>
  </sheetData>
  <dataValidations>
    <dataValidation type="custom" allowBlank="1" showDropDown="1" sqref="F2:I1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